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LS Regression" sheetId="2" state="visible" r:id="rId4"/>
    <sheet name="Key 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<sst xmlns="http://schemas.openxmlformats.org/spreadsheetml/2006/main" count="99" uniqueCount="92">
  <si>
    <t xml:space="preserve">Variable 2 — Cloud Infrastructure Concentration: HHI Analysis (2017–2024)</t>
  </si>
  <si>
    <t xml:space="preserve">Research: "To what extent has the growth of cyberattacks and infrastructure disruptions outpaced institutional defensive and regulatory capacity?" (2015–2025)</t>
  </si>
  <si>
    <t xml:space="preserve">Color key:  Blue = hardcoded input    Black = formula    Green = cross-sheet ref    Red background = methodological flag</t>
  </si>
  <si>
    <t xml:space="preserve">Year</t>
  </si>
  <si>
    <t xml:space="preserve">AWS (%)</t>
  </si>
  <si>
    <t xml:space="preserve">Azure (%)</t>
  </si>
  <si>
    <t xml:space="preserve">GCP (%)</t>
  </si>
  <si>
    <t xml:space="preserve">CR3 (%)</t>
  </si>
  <si>
    <t xml:space="preserve">HHI</t>
  </si>
  <si>
    <t xml:space="preserve">Source Note</t>
  </si>
  <si>
    <t xml:space="preserve">Primary — Synergy Research Group; Canalys Q4 2017 (GCP baseline confirmed)</t>
  </si>
  <si>
    <t xml:space="preserve">Interpolated — Synergy Q1 2022 press release: Azure +~2 pp/yr, GCP +~1 pp/yr stated rate</t>
  </si>
  <si>
    <t xml:space="preserve">Interpolated — Synergy Q1 2022 press release rate-of-change</t>
  </si>
  <si>
    <t xml:space="preserve">Primary — Synergy Research Group; businesstats.com CR3 cross-check (63% confirmed)</t>
  </si>
  <si>
    <t xml:space="preserve">Primary — AAG-IT citing Synergy (AWS 31%, Azure 23%+); holori.com GCP cross-check</t>
  </si>
  <si>
    <t xml:space="preserve">Primary — Synergy Research Group Q4 2024 press release  †RECLASSIFICATION — see note below</t>
  </si>
  <si>
    <t xml:space="preserve">METHODOLOGY NOTES</t>
  </si>
  <si>
    <t xml:space="preserve">†</t>
  </si>
  <si>
    <t xml:space="preserve">2024 RECLASSIFICATION: Synergy Research Group reclassified a portion of Azure revenues from IaaS/PaaS to SaaS in 2024, producing an apparent drop in Azure share from 24% (2023) to 21% (2024) despite continued absolute revenue growth. The 2024 HHI (1,485) reflects this artifact. Primary trend is 2017–2023 for OLS purposes.</t>
  </si>
  <si>
    <t xml:space="preserve">Formula: Σ(sᵢ²) where sᵢ = each provider's market share as whole-number percentage points. Big Three only. Full-market HHI follows the same directional trend.</t>
  </si>
  <si>
    <t xml:space="preserve">CR3</t>
  </si>
  <si>
    <t xml:space="preserve">Concentration Ratio (top 3) = AWS + Azure + GCP combined share. Rising from 51% (2017) to 66% (2023) corroborates HHI trend independently.</t>
  </si>
  <si>
    <t xml:space="preserve">Sources</t>
  </si>
  <si>
    <t xml:space="preserve">Synergy Research Group press releases: srgresearch.com/articles (free, no paywall). Canalys Q4 2017. holori.com/cloud-market-share-2024-aws-azure-gcp (Synergy-citing). 2018–2021 interpolated from Synergy Q1 2022 stated annual rate-of-change.</t>
  </si>
  <si>
    <t xml:space="preserve">OLS Regression: HHI ~ Year (2017–2023)</t>
  </si>
  <si>
    <t xml:space="preserve">Dependent variable: HHI (Big Three cloud concentration index). Independent variable: Year. n=7. 2024 excluded — Azure reclassification artifact.</t>
  </si>
  <si>
    <t xml:space="preserve">Color key:  Black = formula    Green = cross-sheet reference</t>
  </si>
  <si>
    <t xml:space="preserve">REGRESSION OUTPUT</t>
  </si>
  <si>
    <t xml:space="preserve">Statistic</t>
  </si>
  <si>
    <t xml:space="preserve">Value</t>
  </si>
  <si>
    <t xml:space="preserve">Excel Formula</t>
  </si>
  <si>
    <t xml:space="preserve">Interpretation</t>
  </si>
  <si>
    <t xml:space="preserve">β₁ — Slope (HHI / year)</t>
  </si>
  <si>
    <t xml:space="preserve">Avg. annual HHI increase — the primary trend coefficient</t>
  </si>
  <si>
    <t xml:space="preserve">β₀ — Intercept</t>
  </si>
  <si>
    <t xml:space="preserve">Theoretical HHI at year 0 (no standalone interpretation)</t>
  </si>
  <si>
    <t xml:space="preserve">R² (Coefficient of Determination)</t>
  </si>
  <si>
    <t xml:space="preserve">Proportion of HHI variance explained by year alone</t>
  </si>
  <si>
    <t xml:space="preserve">SE Regression — STEYX</t>
  </si>
  <si>
    <t xml:space="preserve">Average size of residuals — goodness of fit</t>
  </si>
  <si>
    <t xml:space="preserve">n (observations used)</t>
  </si>
  <si>
    <t xml:space="preserve">2017–2023 only (2024 excluded)</t>
  </si>
  <si>
    <t xml:space="preserve">DEVSQ(x) — Σ(yearᵢ − ȳear)²</t>
  </si>
  <si>
    <t xml:space="preserve">Sum of squared deviations of year values from mean year</t>
  </si>
  <si>
    <t xml:space="preserve">SE(β₁) — Standard Error of Slope</t>
  </si>
  <si>
    <t xml:space="preserve">B9/SQRT(B11)  [STEYX / SQRT(DEVSQ(x))]</t>
  </si>
  <si>
    <t xml:space="preserve">Sampling uncertainty around the slope estimate</t>
  </si>
  <si>
    <t xml:space="preserve">t-statistic (β₁)</t>
  </si>
  <si>
    <t xml:space="preserve">B6/B12  [slope / SE(slope)]</t>
  </si>
  <si>
    <t xml:space="preserve">Tests whether slope differs significantly from zero</t>
  </si>
  <si>
    <t xml:space="preserve">p-value (two-tailed)</t>
  </si>
  <si>
    <t xml:space="preserve">TDIST(ABS(B13), B10-2, 2)  [two-tailed, df = n-2]</t>
  </si>
  <si>
    <t xml:space="preserve">Probability of this trend occurring by chance; &lt;0.05 = significant</t>
  </si>
  <si>
    <t xml:space="preserve">PREDICTED vs ACTUAL HHI — 2017–2023</t>
  </si>
  <si>
    <t xml:space="preserve">Actual HHI</t>
  </si>
  <si>
    <t xml:space="preserve">Predicted HHI</t>
  </si>
  <si>
    <t xml:space="preserve">Residual</t>
  </si>
  <si>
    <t xml:space="preserve">INTERPRETATION NOTES</t>
  </si>
  <si>
    <t xml:space="preserve">β₁: For every one-year increase in the observation window, the Big Three cloud HHI increased by approximately [β₁] points on average. Report as: "HHI increased by X points/year (β₁=X, R²=X, p&lt;0.05)."</t>
  </si>
  <si>
    <t xml:space="preserve">R²: A value close to 1.0 indicates year alone explains most of the variance in HHI — the concentration trend is strongly linear over 2017–2023. Expected &gt;0.95.</t>
  </si>
  <si>
    <t xml:space="preserve">p-value: Expected &lt;0.001 despite n=7, because the trend is very consistent. Acknowledged limitation: low statistical power. Treat as descriptive-quantitative rather than strict inferential claim.</t>
  </si>
  <si>
    <t xml:space="preserve">Limitation: n=7 data points. OLS is underpowered for strong inference. Report β₁ with SE and p-value, and note limited statistical power explicitly in the paper's methodology section.</t>
  </si>
  <si>
    <t xml:space="preserve">Variable 2 — Key Findings Summary</t>
  </si>
  <si>
    <t xml:space="preserve">Cloud Infrastructure Market Concentration (HHI Analysis) | Source: Synergy Research Group quarterly press releases (srgresearch.com/articles)</t>
  </si>
  <si>
    <t xml:space="preserve">HEADLINE METRICS (2017 vs 2023)</t>
  </si>
  <si>
    <t xml:space="preserve">Metric</t>
  </si>
  <si>
    <t xml:space="preserve">2017 (baseline)</t>
  </si>
  <si>
    <t xml:space="preserve">2023 (peak)</t>
  </si>
  <si>
    <t xml:space="preserve">Change</t>
  </si>
  <si>
    <t xml:space="preserve">HHI (Big Three)</t>
  </si>
  <si>
    <t xml:space="preserve">CR3 Combined Share</t>
  </si>
  <si>
    <t xml:space="preserve">AWS Market Share</t>
  </si>
  <si>
    <t xml:space="preserve">Azure Market Share</t>
  </si>
  <si>
    <t xml:space="preserve">GCP Market Share</t>
  </si>
  <si>
    <t xml:space="preserve">OLS REGRESSION SUMMARY (see 'OLS Regression' sheet)</t>
  </si>
  <si>
    <t xml:space="preserve">Note</t>
  </si>
  <si>
    <t xml:space="preserve">β₁ — Slope (HHI/year)</t>
  </si>
  <si>
    <t xml:space="preserve">Avg. annual HHI increase, 2017–2023</t>
  </si>
  <si>
    <t xml:space="preserve">R² (variance explained)</t>
  </si>
  <si>
    <t xml:space="preserve">Goodness of fit — proportion of variance explained by year</t>
  </si>
  <si>
    <t xml:space="preserve">Statistical significance; &lt;0.05 = significant trend</t>
  </si>
  <si>
    <t xml:space="preserve">n (observations)</t>
  </si>
  <si>
    <t xml:space="preserve">2017–2023 only; 2024 excluded due to reclassification</t>
  </si>
  <si>
    <t xml:space="preserve">RESEARCH CONTEXT</t>
  </si>
  <si>
    <t xml:space="preserve">Variable role</t>
  </si>
  <si>
    <t xml:space="preserve">Variable 2 of 3. Measures structural blast radius — not outage frequency directly, but the concentration of infrastructure that amplifies the impact of any single failure (malicious or non-malicious).</t>
  </si>
  <si>
    <t xml:space="preserve">Theoretical link</t>
  </si>
  <si>
    <t xml:space="preserve">Rising HHI operationalises the efficiency-fragility tradeoff: as digital workloads concentrate in fewer providers for efficiency, the blast radius of any cascade or outage grows proportionally.</t>
  </si>
  <si>
    <t xml:space="preserve">Case study connection</t>
  </si>
  <si>
    <t xml:space="preserve">Connects to: 2022 Kakao data center fire (single-facility SPOF), 2024 CrowdStrike update cascade (single-vendor failure → global aviation, finance, healthcare), Canvas/Instructure LMS (platform-dependency cascade).</t>
  </si>
  <si>
    <t xml:space="preserve">Limitations</t>
  </si>
  <si>
    <t xml:space="preserve">n=7 for OLS (low statistical power). 2024 HHI affected by Synergy's Azure reclassification. 2018–2021 shares interpolated, not confirmed from primary Synergy press releases. All limitations noted explicitly in paper methodology.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</si>
</sst>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#,##0.00"/>
    <numFmt numFmtId="168" formatCode="General"/>
    <numFmt numFmtId="169" formatCode="0.0000"/>
    <numFmt numFmtId="170" formatCode="#,##0.0000"/>
    <numFmt numFmtId="171" formatCode="0.0%"/>
    <numFmt numFmtId="172" formatCode="0&quot; pp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993333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008000"/>
      <name val="Arial"/>
      <family val="0"/>
      <charset val="1"/>
    </font>
    <font>
      <sz val="8.5"/>
      <color rgb="FF777777"/>
      <name val="Courier New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22222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5"/>
        <bgColor rgb="FFF2F7FF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5F5F5"/>
      </patternFill>
    </fill>
    <fill>
      <patternFill patternType="solid">
        <fgColor rgb="FFFFEAEA"/>
        <bgColor rgb="FFF5F5F5"/>
      </patternFill>
    </fill>
    <fill>
      <patternFill patternType="solid">
        <fgColor rgb="FF344D6E"/>
        <bgColor rgb="FF444444"/>
      </patternFill>
    </fill>
    <fill>
      <patternFill patternType="solid">
        <fgColor rgb="FFFFFBC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33"/>
      <rgbColor rgb="FFFFFB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444444"/>
      <rgbColor rgb="FF222222"/>
      <rgbColor rgb="FF993300"/>
      <rgbColor rgb="FF555555"/>
      <rgbColor rgb="FF344D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1"/>
    <col collapsed="false" customWidth="true" hidden="false" outlineLevel="0" max="7" min="7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true" outlineLevel="0" collapsed="false">
      <c r="A5" s="5" t="n">
        <v>2017</v>
      </c>
      <c r="B5" s="6" t="n">
        <v>33</v>
      </c>
      <c r="C5" s="6" t="n">
        <v>12</v>
      </c>
      <c r="D5" s="6" t="n">
        <v>6</v>
      </c>
      <c r="E5" s="7" t="n">
        <f aca="false">B5+C5+D5</f>
        <v>51</v>
      </c>
      <c r="F5" s="8" t="n">
        <f aca="false">B5^2+C5^2+D5^2</f>
        <v>1269</v>
      </c>
      <c r="G5" s="9" t="s">
        <v>10</v>
      </c>
    </row>
    <row r="6" customFormat="false" ht="15" hidden="false" customHeight="true" outlineLevel="0" collapsed="false">
      <c r="A6" s="10" t="n">
        <v>2018</v>
      </c>
      <c r="B6" s="11" t="n">
        <v>33</v>
      </c>
      <c r="C6" s="11" t="n">
        <v>13</v>
      </c>
      <c r="D6" s="11" t="n">
        <v>7</v>
      </c>
      <c r="E6" s="12" t="n">
        <f aca="false">B6+C6+D6</f>
        <v>53</v>
      </c>
      <c r="F6" s="13" t="n">
        <f aca="false">B6^2+C6^2+D6^2</f>
        <v>1307</v>
      </c>
      <c r="G6" s="14" t="s">
        <v>11</v>
      </c>
    </row>
    <row r="7" customFormat="false" ht="15" hidden="false" customHeight="true" outlineLevel="0" collapsed="false">
      <c r="A7" s="5" t="n">
        <v>2019</v>
      </c>
      <c r="B7" s="6" t="n">
        <v>33</v>
      </c>
      <c r="C7" s="6" t="n">
        <v>15</v>
      </c>
      <c r="D7" s="6" t="n">
        <v>8</v>
      </c>
      <c r="E7" s="7" t="n">
        <f aca="false">B7+C7+D7</f>
        <v>56</v>
      </c>
      <c r="F7" s="8" t="n">
        <f aca="false">B7^2+C7^2+D7^2</f>
        <v>1378</v>
      </c>
      <c r="G7" s="9" t="s">
        <v>12</v>
      </c>
    </row>
    <row r="8" customFormat="false" ht="15" hidden="false" customHeight="true" outlineLevel="0" collapsed="false">
      <c r="A8" s="10" t="n">
        <v>2020</v>
      </c>
      <c r="B8" s="11" t="n">
        <v>33</v>
      </c>
      <c r="C8" s="11" t="n">
        <v>17</v>
      </c>
      <c r="D8" s="11" t="n">
        <v>8</v>
      </c>
      <c r="E8" s="12" t="n">
        <f aca="false">B8+C8+D8</f>
        <v>58</v>
      </c>
      <c r="F8" s="13" t="n">
        <f aca="false">B8^2+C8^2+D8^2</f>
        <v>1442</v>
      </c>
      <c r="G8" s="14" t="s">
        <v>12</v>
      </c>
    </row>
    <row r="9" customFormat="false" ht="15" hidden="false" customHeight="true" outlineLevel="0" collapsed="false">
      <c r="A9" s="5" t="n">
        <v>2021</v>
      </c>
      <c r="B9" s="6" t="n">
        <v>33</v>
      </c>
      <c r="C9" s="6" t="n">
        <v>19</v>
      </c>
      <c r="D9" s="6" t="n">
        <v>9</v>
      </c>
      <c r="E9" s="7" t="n">
        <f aca="false">B9+C9+D9</f>
        <v>61</v>
      </c>
      <c r="F9" s="8" t="n">
        <f aca="false">B9^2+C9^2+D9^2</f>
        <v>1531</v>
      </c>
      <c r="G9" s="9" t="s">
        <v>12</v>
      </c>
    </row>
    <row r="10" customFormat="false" ht="15" hidden="false" customHeight="true" outlineLevel="0" collapsed="false">
      <c r="A10" s="10" t="n">
        <v>2022</v>
      </c>
      <c r="B10" s="11" t="n">
        <v>33</v>
      </c>
      <c r="C10" s="11" t="n">
        <v>21</v>
      </c>
      <c r="D10" s="11" t="n">
        <v>9</v>
      </c>
      <c r="E10" s="12" t="n">
        <f aca="false">B10+C10+D10</f>
        <v>63</v>
      </c>
      <c r="F10" s="13" t="n">
        <f aca="false">B10^2+C10^2+D10^2</f>
        <v>1611</v>
      </c>
      <c r="G10" s="14" t="s">
        <v>13</v>
      </c>
    </row>
    <row r="11" customFormat="false" ht="15" hidden="false" customHeight="true" outlineLevel="0" collapsed="false">
      <c r="A11" s="5" t="n">
        <v>2023</v>
      </c>
      <c r="B11" s="6" t="n">
        <v>31</v>
      </c>
      <c r="C11" s="6" t="n">
        <v>24</v>
      </c>
      <c r="D11" s="6" t="n">
        <v>11</v>
      </c>
      <c r="E11" s="7" t="n">
        <f aca="false">B11+C11+D11</f>
        <v>66</v>
      </c>
      <c r="F11" s="8" t="n">
        <f aca="false">B11^2+C11^2+D11^2</f>
        <v>1658</v>
      </c>
      <c r="G11" s="9" t="s">
        <v>14</v>
      </c>
    </row>
    <row r="12" customFormat="false" ht="15" hidden="false" customHeight="true" outlineLevel="0" collapsed="false">
      <c r="A12" s="15" t="n">
        <v>2024</v>
      </c>
      <c r="B12" s="16" t="n">
        <v>30</v>
      </c>
      <c r="C12" s="16" t="n">
        <v>21</v>
      </c>
      <c r="D12" s="16" t="n">
        <v>12</v>
      </c>
      <c r="E12" s="17" t="n">
        <f aca="false">B12+C12+D12</f>
        <v>63</v>
      </c>
      <c r="F12" s="18" t="n">
        <f aca="false">B12^2+C12^2+D12^2</f>
        <v>1485</v>
      </c>
      <c r="G12" s="19" t="s">
        <v>15</v>
      </c>
    </row>
    <row r="13" customFormat="false" ht="7.5" hidden="false" customHeight="true" outlineLevel="0" collapsed="false"/>
    <row r="14" customFormat="false" ht="15.75" hidden="false" customHeight="true" outlineLevel="0" collapsed="false">
      <c r="A14" s="20" t="s">
        <v>16</v>
      </c>
      <c r="B14" s="20"/>
      <c r="C14" s="20"/>
      <c r="D14" s="20"/>
      <c r="E14" s="20"/>
      <c r="F14" s="20"/>
      <c r="G14" s="20"/>
    </row>
    <row r="15" customFormat="false" ht="39.75" hidden="false" customHeight="true" outlineLevel="0" collapsed="false">
      <c r="A15" s="21" t="s">
        <v>17</v>
      </c>
      <c r="B15" s="22" t="s">
        <v>18</v>
      </c>
      <c r="C15" s="22"/>
      <c r="D15" s="22"/>
      <c r="E15" s="22"/>
      <c r="F15" s="22"/>
      <c r="G15" s="22"/>
    </row>
    <row r="16" customFormat="false" ht="39.75" hidden="false" customHeight="true" outlineLevel="0" collapsed="false">
      <c r="A16" s="21" t="s">
        <v>8</v>
      </c>
      <c r="B16" s="22" t="s">
        <v>19</v>
      </c>
      <c r="C16" s="22"/>
      <c r="D16" s="22"/>
      <c r="E16" s="22"/>
      <c r="F16" s="22"/>
      <c r="G16" s="22"/>
    </row>
    <row r="17" customFormat="false" ht="39.75" hidden="false" customHeight="true" outlineLevel="0" collapsed="false">
      <c r="A17" s="21" t="s">
        <v>20</v>
      </c>
      <c r="B17" s="22" t="s">
        <v>21</v>
      </c>
      <c r="C17" s="22"/>
      <c r="D17" s="22"/>
      <c r="E17" s="22"/>
      <c r="F17" s="22"/>
      <c r="G17" s="22"/>
    </row>
    <row r="18" customFormat="false" ht="39.75" hidden="false" customHeight="true" outlineLevel="0" collapsed="false">
      <c r="A18" s="21" t="s">
        <v>22</v>
      </c>
      <c r="B18" s="22" t="s">
        <v>23</v>
      </c>
      <c r="C18" s="22"/>
      <c r="D18" s="22"/>
      <c r="E18" s="22"/>
      <c r="F18" s="22"/>
      <c r="G18" s="22"/>
    </row>
  </sheetData>
  <mergeCells count="8">
    <mergeCell ref="A1:G1"/>
    <mergeCell ref="A2:G2"/>
    <mergeCell ref="A3:G3"/>
    <mergeCell ref="A14:G14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38"/>
  </cols>
  <sheetData>
    <row r="1" customFormat="false" ht="24" hidden="false" customHeight="true" outlineLevel="0" collapsed="false">
      <c r="A1" s="1" t="s">
        <v>24</v>
      </c>
      <c r="B1" s="1"/>
      <c r="C1" s="1"/>
      <c r="D1" s="1"/>
    </row>
    <row r="2" customFormat="false" ht="15.75" hidden="false" customHeight="true" outlineLevel="0" collapsed="false">
      <c r="A2" s="2" t="s">
        <v>25</v>
      </c>
      <c r="B2" s="2"/>
      <c r="C2" s="2"/>
      <c r="D2" s="2"/>
    </row>
    <row r="3" customFormat="false" ht="13.5" hidden="false" customHeight="true" outlineLevel="0" collapsed="false">
      <c r="A3" s="3" t="s">
        <v>26</v>
      </c>
      <c r="B3" s="3"/>
      <c r="C3" s="3"/>
      <c r="D3" s="3"/>
    </row>
    <row r="4" customFormat="false" ht="15.75" hidden="false" customHeight="true" outlineLevel="0" collapsed="false">
      <c r="A4" s="20" t="s">
        <v>27</v>
      </c>
      <c r="B4" s="20"/>
      <c r="C4" s="20"/>
      <c r="D4" s="20"/>
    </row>
    <row r="5" customFormat="false" ht="15.75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</row>
    <row r="6" customFormat="false" ht="15.75" hidden="false" customHeight="true" outlineLevel="0" collapsed="false">
      <c r="A6" s="23" t="s">
        <v>32</v>
      </c>
      <c r="B6" s="24" t="n">
        <f aca="false">SLOPE(Data!F5:F11,Data!A5:A11)</f>
        <v>68.8571428571429</v>
      </c>
      <c r="C6" s="25" t="n">
        <f aca="false">SLOPE(Data!F5:F11,Data!A5:A11)</f>
        <v>68.8571428571429</v>
      </c>
      <c r="D6" s="26" t="s">
        <v>33</v>
      </c>
    </row>
    <row r="7" customFormat="false" ht="15.75" hidden="false" customHeight="true" outlineLevel="0" collapsed="false">
      <c r="A7" s="27" t="s">
        <v>34</v>
      </c>
      <c r="B7" s="28" t="n">
        <f aca="false">INTERCEPT(Data!F5:F11,Data!A5:A11)</f>
        <v>-137634.857142857</v>
      </c>
      <c r="C7" s="29" t="n">
        <f aca="false">INTERCEPT(Data!F5:F11,Data!A5:A11)</f>
        <v>-137634.857142857</v>
      </c>
      <c r="D7" s="30" t="s">
        <v>35</v>
      </c>
    </row>
    <row r="8" customFormat="false" ht="15.75" hidden="false" customHeight="true" outlineLevel="0" collapsed="false">
      <c r="A8" s="23" t="s">
        <v>36</v>
      </c>
      <c r="B8" s="31" t="n">
        <f aca="false">RSQ(Data!F5:F11,Data!A5:A11)</f>
        <v>0.991447885015875</v>
      </c>
      <c r="C8" s="25" t="n">
        <f aca="false">RSQ(Data!F5:F11,Data!A5:A11)</f>
        <v>0.991447885015875</v>
      </c>
      <c r="D8" s="26" t="s">
        <v>37</v>
      </c>
    </row>
    <row r="9" customFormat="false" ht="15.75" hidden="false" customHeight="true" outlineLevel="0" collapsed="false">
      <c r="A9" s="27" t="s">
        <v>38</v>
      </c>
      <c r="B9" s="28" t="n">
        <f aca="false">STEYX(Data!F5:F11,Data!A5:A11)</f>
        <v>15.1336899475499</v>
      </c>
      <c r="C9" s="29" t="n">
        <f aca="false">STEYX(Data!F5:F11,Data!A5:A11)</f>
        <v>15.1336899475499</v>
      </c>
      <c r="D9" s="30" t="s">
        <v>39</v>
      </c>
    </row>
    <row r="10" customFormat="false" ht="15.75" hidden="false" customHeight="true" outlineLevel="0" collapsed="false">
      <c r="A10" s="32" t="s">
        <v>40</v>
      </c>
      <c r="B10" s="33" t="n">
        <f aca="false">COUNT(Data!F5:F11)</f>
        <v>7</v>
      </c>
      <c r="C10" s="25" t="n">
        <f aca="false">COUNT(Data!F5:F11)</f>
        <v>7</v>
      </c>
      <c r="D10" s="26" t="s">
        <v>41</v>
      </c>
    </row>
    <row r="11" customFormat="false" ht="15.75" hidden="false" customHeight="true" outlineLevel="0" collapsed="false">
      <c r="A11" s="27" t="s">
        <v>42</v>
      </c>
      <c r="B11" s="28" t="n">
        <f aca="false">DEVSQ(Data!A5:A11)</f>
        <v>28</v>
      </c>
      <c r="C11" s="29" t="n">
        <f aca="false">DEVSQ(Data!A5:A11)</f>
        <v>28</v>
      </c>
      <c r="D11" s="30" t="s">
        <v>43</v>
      </c>
    </row>
    <row r="12" customFormat="false" ht="15.75" hidden="false" customHeight="true" outlineLevel="0" collapsed="false">
      <c r="A12" s="32" t="s">
        <v>44</v>
      </c>
      <c r="B12" s="34" t="n">
        <f aca="false">B9/SQRT(B11)</f>
        <v>2.85999857285537</v>
      </c>
      <c r="C12" s="25" t="s">
        <v>45</v>
      </c>
      <c r="D12" s="26" t="s">
        <v>46</v>
      </c>
    </row>
    <row r="13" customFormat="false" ht="15.75" hidden="false" customHeight="true" outlineLevel="0" collapsed="false">
      <c r="A13" s="27" t="s">
        <v>47</v>
      </c>
      <c r="B13" s="28" t="n">
        <f aca="false">B6/B12</f>
        <v>24.0759360898552</v>
      </c>
      <c r="C13" s="29" t="s">
        <v>48</v>
      </c>
      <c r="D13" s="30" t="s">
        <v>49</v>
      </c>
    </row>
    <row r="14" customFormat="false" ht="15.75" hidden="false" customHeight="true" outlineLevel="0" collapsed="false">
      <c r="A14" s="23" t="s">
        <v>50</v>
      </c>
      <c r="B14" s="31" t="n">
        <f aca="false">TDIST(ABS(B13),B10-2,2)</f>
        <v>2.30352946048243E-006</v>
      </c>
      <c r="C14" s="25" t="s">
        <v>51</v>
      </c>
      <c r="D14" s="26" t="s">
        <v>52</v>
      </c>
    </row>
    <row r="15" customFormat="false" ht="7.5" hidden="false" customHeight="true" outlineLevel="0" collapsed="false"/>
    <row r="16" customFormat="false" ht="15.75" hidden="false" customHeight="true" outlineLevel="0" collapsed="false">
      <c r="A16" s="20" t="s">
        <v>53</v>
      </c>
      <c r="B16" s="20"/>
      <c r="C16" s="20"/>
      <c r="D16" s="20"/>
    </row>
    <row r="17" customFormat="false" ht="15.75" hidden="false" customHeight="true" outlineLevel="0" collapsed="false">
      <c r="A17" s="4" t="s">
        <v>3</v>
      </c>
      <c r="B17" s="4" t="s">
        <v>54</v>
      </c>
      <c r="C17" s="4" t="s">
        <v>55</v>
      </c>
      <c r="D17" s="4" t="s">
        <v>56</v>
      </c>
    </row>
    <row r="18" customFormat="false" ht="15" hidden="false" customHeight="true" outlineLevel="0" collapsed="false">
      <c r="A18" s="33" t="n">
        <f aca="false">Data!A5</f>
        <v>2017</v>
      </c>
      <c r="B18" s="35" t="n">
        <f aca="false">Data!F5</f>
        <v>1269</v>
      </c>
      <c r="C18" s="36" t="n">
        <f aca="false">$B$7+$B$6*Data!A5</f>
        <v>1250</v>
      </c>
      <c r="D18" s="36" t="n">
        <f aca="false">B18-C18</f>
        <v>19</v>
      </c>
    </row>
    <row r="19" customFormat="false" ht="15" hidden="false" customHeight="true" outlineLevel="0" collapsed="false">
      <c r="A19" s="37" t="n">
        <f aca="false">Data!A6</f>
        <v>2018</v>
      </c>
      <c r="B19" s="38" t="n">
        <f aca="false">Data!F6</f>
        <v>1307</v>
      </c>
      <c r="C19" s="39" t="n">
        <f aca="false">$B$7+$B$6*Data!A6</f>
        <v>1318.85714285713</v>
      </c>
      <c r="D19" s="39" t="n">
        <f aca="false">B19-C19</f>
        <v>-11.8571428571304</v>
      </c>
    </row>
    <row r="20" customFormat="false" ht="15" hidden="false" customHeight="true" outlineLevel="0" collapsed="false">
      <c r="A20" s="33" t="n">
        <f aca="false">Data!A7</f>
        <v>2019</v>
      </c>
      <c r="B20" s="35" t="n">
        <f aca="false">Data!F7</f>
        <v>1378</v>
      </c>
      <c r="C20" s="36" t="n">
        <f aca="false">$B$7+$B$6*Data!A7</f>
        <v>1387.71428571429</v>
      </c>
      <c r="D20" s="36" t="n">
        <f aca="false">B20-C20</f>
        <v>-9.71428571428987</v>
      </c>
    </row>
    <row r="21" customFormat="false" ht="15" hidden="false" customHeight="true" outlineLevel="0" collapsed="false">
      <c r="A21" s="37" t="n">
        <f aca="false">Data!A8</f>
        <v>2020</v>
      </c>
      <c r="B21" s="38" t="n">
        <f aca="false">Data!F8</f>
        <v>1442</v>
      </c>
      <c r="C21" s="39" t="n">
        <f aca="false">$B$7+$B$6*Data!A8</f>
        <v>1456.57142857142</v>
      </c>
      <c r="D21" s="39" t="n">
        <f aca="false">B21-C21</f>
        <v>-14.5714285714203</v>
      </c>
    </row>
    <row r="22" customFormat="false" ht="15" hidden="false" customHeight="true" outlineLevel="0" collapsed="false">
      <c r="A22" s="33" t="n">
        <f aca="false">Data!A9</f>
        <v>2021</v>
      </c>
      <c r="B22" s="35" t="n">
        <f aca="false">Data!F9</f>
        <v>1531</v>
      </c>
      <c r="C22" s="36" t="n">
        <f aca="false">$B$7+$B$6*Data!A9</f>
        <v>1525.42857142855</v>
      </c>
      <c r="D22" s="36" t="n">
        <f aca="false">B22-C22</f>
        <v>5.57142857144936</v>
      </c>
    </row>
    <row r="23" customFormat="false" ht="15" hidden="false" customHeight="true" outlineLevel="0" collapsed="false">
      <c r="A23" s="37" t="n">
        <f aca="false">Data!A10</f>
        <v>2022</v>
      </c>
      <c r="B23" s="38" t="n">
        <f aca="false">Data!F10</f>
        <v>1611</v>
      </c>
      <c r="C23" s="39" t="n">
        <f aca="false">$B$7+$B$6*Data!A10</f>
        <v>1594.28571428571</v>
      </c>
      <c r="D23" s="39" t="n">
        <f aca="false">B23-C23</f>
        <v>16.7142857142899</v>
      </c>
    </row>
    <row r="24" customFormat="false" ht="15" hidden="false" customHeight="true" outlineLevel="0" collapsed="false">
      <c r="A24" s="33" t="n">
        <f aca="false">Data!A11</f>
        <v>2023</v>
      </c>
      <c r="B24" s="35" t="n">
        <f aca="false">Data!F11</f>
        <v>1658</v>
      </c>
      <c r="C24" s="36" t="n">
        <f aca="false">$B$7+$B$6*Data!A11</f>
        <v>1663.14285714284</v>
      </c>
      <c r="D24" s="36" t="n">
        <f aca="false">B24-C24</f>
        <v>-5.14285714284051</v>
      </c>
    </row>
    <row r="25" customFormat="false" ht="7.5" hidden="false" customHeight="true" outlineLevel="0" collapsed="false"/>
    <row r="26" customFormat="false" ht="15.75" hidden="false" customHeight="true" outlineLevel="0" collapsed="false">
      <c r="A26" s="20" t="s">
        <v>57</v>
      </c>
      <c r="B26" s="20"/>
      <c r="C26" s="20"/>
      <c r="D26" s="20"/>
    </row>
    <row r="27" customFormat="false" ht="37.5" hidden="false" customHeight="true" outlineLevel="0" collapsed="false">
      <c r="A27" s="40" t="s">
        <v>58</v>
      </c>
      <c r="B27" s="40"/>
      <c r="C27" s="40"/>
      <c r="D27" s="40"/>
    </row>
    <row r="28" customFormat="false" ht="37.5" hidden="false" customHeight="true" outlineLevel="0" collapsed="false">
      <c r="A28" s="40" t="s">
        <v>59</v>
      </c>
      <c r="B28" s="40"/>
      <c r="C28" s="40"/>
      <c r="D28" s="40"/>
    </row>
    <row r="29" customFormat="false" ht="37.5" hidden="false" customHeight="true" outlineLevel="0" collapsed="false">
      <c r="A29" s="40" t="s">
        <v>60</v>
      </c>
      <c r="B29" s="40"/>
      <c r="C29" s="40"/>
      <c r="D29" s="40"/>
    </row>
    <row r="30" customFormat="false" ht="37.5" hidden="false" customHeight="true" outlineLevel="0" collapsed="false">
      <c r="A30" s="40" t="s">
        <v>61</v>
      </c>
      <c r="B30" s="40"/>
      <c r="C30" s="40"/>
      <c r="D30" s="40"/>
    </row>
  </sheetData>
  <mergeCells count="10">
    <mergeCell ref="A1:D1"/>
    <mergeCell ref="A2:D2"/>
    <mergeCell ref="A3:D3"/>
    <mergeCell ref="A4:D4"/>
    <mergeCell ref="A16:D16"/>
    <mergeCell ref="A26:D26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38"/>
  </cols>
  <sheetData>
    <row r="1" customFormat="false" ht="24" hidden="false" customHeight="true" outlineLevel="0" collapsed="false">
      <c r="A1" s="1" t="s">
        <v>62</v>
      </c>
      <c r="B1" s="1"/>
      <c r="C1" s="1"/>
      <c r="D1" s="1"/>
    </row>
    <row r="2" customFormat="false" ht="15.75" hidden="false" customHeight="true" outlineLevel="0" collapsed="false">
      <c r="A2" s="2" t="s">
        <v>63</v>
      </c>
      <c r="B2" s="2"/>
      <c r="C2" s="2"/>
      <c r="D2" s="2"/>
    </row>
    <row r="3" customFormat="false" ht="7.5" hidden="false" customHeight="true" outlineLevel="0" collapsed="false"/>
    <row r="4" customFormat="false" ht="15.75" hidden="false" customHeight="true" outlineLevel="0" collapsed="false">
      <c r="A4" s="20" t="s">
        <v>64</v>
      </c>
      <c r="B4" s="20"/>
      <c r="C4" s="20"/>
      <c r="D4" s="20"/>
    </row>
    <row r="5" customFormat="false" ht="15.75" hidden="false" customHeight="true" outlineLevel="0" collapsed="false">
      <c r="A5" s="4" t="s">
        <v>65</v>
      </c>
      <c r="B5" s="4" t="s">
        <v>66</v>
      </c>
      <c r="C5" s="4" t="s">
        <v>67</v>
      </c>
      <c r="D5" s="4" t="s">
        <v>68</v>
      </c>
    </row>
    <row r="6" customFormat="false" ht="15.75" hidden="false" customHeight="true" outlineLevel="0" collapsed="false">
      <c r="A6" s="41" t="s">
        <v>69</v>
      </c>
      <c r="B6" s="35" t="n">
        <f aca="false">Data!F5</f>
        <v>1269</v>
      </c>
      <c r="C6" s="35" t="n">
        <f aca="false">Data!F11</f>
        <v>1658</v>
      </c>
      <c r="D6" s="42" t="n">
        <f aca="false">(C6-B6)/B6</f>
        <v>0.306540583136328</v>
      </c>
    </row>
    <row r="7" customFormat="false" ht="15.75" hidden="false" customHeight="true" outlineLevel="0" collapsed="false">
      <c r="A7" s="43" t="s">
        <v>70</v>
      </c>
      <c r="B7" s="44" t="n">
        <f aca="false">Data!E5</f>
        <v>51</v>
      </c>
      <c r="C7" s="44" t="n">
        <f aca="false">Data!E11</f>
        <v>66</v>
      </c>
      <c r="D7" s="45" t="n">
        <f aca="false">C7-B7</f>
        <v>15</v>
      </c>
    </row>
    <row r="8" customFormat="false" ht="15.75" hidden="false" customHeight="true" outlineLevel="0" collapsed="false">
      <c r="A8" s="46" t="s">
        <v>71</v>
      </c>
      <c r="B8" s="47" t="n">
        <f aca="false">Data!B5</f>
        <v>33</v>
      </c>
      <c r="C8" s="47" t="n">
        <f aca="false">Data!B11</f>
        <v>31</v>
      </c>
      <c r="D8" s="48" t="n">
        <f aca="false">C8-B8</f>
        <v>-2</v>
      </c>
    </row>
    <row r="9" customFormat="false" ht="15.75" hidden="false" customHeight="true" outlineLevel="0" collapsed="false">
      <c r="A9" s="43" t="s">
        <v>72</v>
      </c>
      <c r="B9" s="44" t="n">
        <f aca="false">Data!C5</f>
        <v>12</v>
      </c>
      <c r="C9" s="44" t="n">
        <f aca="false">Data!C11</f>
        <v>24</v>
      </c>
      <c r="D9" s="45" t="n">
        <f aca="false">C9-B9</f>
        <v>12</v>
      </c>
    </row>
    <row r="10" customFormat="false" ht="15.75" hidden="false" customHeight="true" outlineLevel="0" collapsed="false">
      <c r="A10" s="46" t="s">
        <v>73</v>
      </c>
      <c r="B10" s="47" t="n">
        <f aca="false">Data!D5</f>
        <v>6</v>
      </c>
      <c r="C10" s="47" t="n">
        <f aca="false">Data!D11</f>
        <v>11</v>
      </c>
      <c r="D10" s="48" t="n">
        <f aca="false">C10-B10</f>
        <v>5</v>
      </c>
    </row>
    <row r="11" customFormat="false" ht="7.5" hidden="false" customHeight="true" outlineLevel="0" collapsed="false"/>
    <row r="12" customFormat="false" ht="15.75" hidden="false" customHeight="true" outlineLevel="0" collapsed="false">
      <c r="A12" s="20" t="s">
        <v>74</v>
      </c>
      <c r="B12" s="20"/>
      <c r="C12" s="20"/>
      <c r="D12" s="20"/>
    </row>
    <row r="13" customFormat="false" ht="15.75" hidden="false" customHeight="true" outlineLevel="0" collapsed="false">
      <c r="A13" s="4" t="s">
        <v>28</v>
      </c>
      <c r="B13" s="4" t="s">
        <v>29</v>
      </c>
      <c r="C13" s="4"/>
      <c r="D13" s="4" t="s">
        <v>75</v>
      </c>
    </row>
    <row r="14" customFormat="false" ht="15.75" hidden="false" customHeight="true" outlineLevel="0" collapsed="false">
      <c r="A14" s="32" t="s">
        <v>76</v>
      </c>
      <c r="B14" s="24" t="n">
        <f aca="false">'OLS Regression'!B6</f>
        <v>68.8571428571429</v>
      </c>
      <c r="C14" s="32"/>
      <c r="D14" s="26" t="s">
        <v>77</v>
      </c>
    </row>
    <row r="15" customFormat="false" ht="15.75" hidden="false" customHeight="true" outlineLevel="0" collapsed="false">
      <c r="A15" s="27" t="s">
        <v>78</v>
      </c>
      <c r="B15" s="49" t="n">
        <f aca="false">'OLS Regression'!B8</f>
        <v>0.991447885015875</v>
      </c>
      <c r="C15" s="27"/>
      <c r="D15" s="30" t="s">
        <v>79</v>
      </c>
    </row>
    <row r="16" customFormat="false" ht="15.75" hidden="false" customHeight="true" outlineLevel="0" collapsed="false">
      <c r="A16" s="32" t="s">
        <v>50</v>
      </c>
      <c r="B16" s="31" t="n">
        <f aca="false">'OLS Regression'!B14</f>
        <v>2.30352946048243E-006</v>
      </c>
      <c r="C16" s="32"/>
      <c r="D16" s="26" t="s">
        <v>80</v>
      </c>
    </row>
    <row r="17" customFormat="false" ht="15.75" hidden="false" customHeight="true" outlineLevel="0" collapsed="false">
      <c r="A17" s="27" t="s">
        <v>81</v>
      </c>
      <c r="B17" s="37" t="n">
        <f aca="false">'OLS Regression'!B10</f>
        <v>7</v>
      </c>
      <c r="C17" s="27"/>
      <c r="D17" s="30" t="s">
        <v>82</v>
      </c>
    </row>
    <row r="18" customFormat="false" ht="7.5" hidden="false" customHeight="true" outlineLevel="0" collapsed="false"/>
    <row r="19" customFormat="false" ht="15.75" hidden="false" customHeight="true" outlineLevel="0" collapsed="false">
      <c r="A19" s="20" t="s">
        <v>83</v>
      </c>
      <c r="B19" s="20"/>
      <c r="C19" s="20"/>
      <c r="D19" s="20"/>
    </row>
    <row r="20" customFormat="false" ht="43.5" hidden="false" customHeight="true" outlineLevel="0" collapsed="false">
      <c r="A20" s="50" t="s">
        <v>84</v>
      </c>
      <c r="B20" s="22" t="s">
        <v>85</v>
      </c>
      <c r="C20" s="22"/>
      <c r="D20" s="22"/>
    </row>
    <row r="21" customFormat="false" ht="43.5" hidden="false" customHeight="true" outlineLevel="0" collapsed="false">
      <c r="A21" s="50" t="s">
        <v>86</v>
      </c>
      <c r="B21" s="22" t="s">
        <v>87</v>
      </c>
      <c r="C21" s="22"/>
      <c r="D21" s="22"/>
    </row>
    <row r="22" customFormat="false" ht="43.5" hidden="false" customHeight="true" outlineLevel="0" collapsed="false">
      <c r="A22" s="50" t="s">
        <v>88</v>
      </c>
      <c r="B22" s="22" t="s">
        <v>89</v>
      </c>
      <c r="C22" s="22"/>
      <c r="D22" s="22"/>
    </row>
    <row r="23" customFormat="false" ht="43.5" hidden="false" customHeight="true" outlineLevel="0" collapsed="false">
      <c r="A23" s="50" t="s">
        <v>90</v>
      </c>
      <c r="B23" s="22" t="s">
        <v>91</v>
      </c>
      <c r="C23" s="22"/>
      <c r="D23" s="22"/>
    </row>
  </sheetData>
  <mergeCells count="9">
    <mergeCell ref="A1:D1"/>
    <mergeCell ref="A2:D2"/>
    <mergeCell ref="A4:D4"/>
    <mergeCell ref="A12:D12"/>
    <mergeCell ref="A19:D19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2026-07-05T08:12:23Z</dcterms:created>
  <dc:creator>openpyxl</dc:creator>
  <dc:description/>
  <dc:language>en-US</dc:language>
  <cp:lastModifiedBy/>
  <dcterms:modified xsi:type="dcterms:W3CDTF">2026-07-05T08:12:23Z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